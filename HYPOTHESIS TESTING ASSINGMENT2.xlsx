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171D8370-83A9-4BCF-BCFB-BEA4019ED231}" xr6:coauthVersionLast="47" xr6:coauthVersionMax="47" xr10:uidLastSave="{00000000-0000-0000-0000-000000000000}"/>
  <bookViews>
    <workbookView xWindow="240" yWindow="105" windowWidth="14805" windowHeight="8010" activeTab="7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8" l="1"/>
  <c r="B18" i="8"/>
  <c r="B17" i="8"/>
  <c r="C15" i="8"/>
  <c r="B15" i="8"/>
  <c r="C14" i="8"/>
  <c r="C7" i="8"/>
  <c r="B7" i="8"/>
  <c r="D6" i="8"/>
  <c r="D5" i="8"/>
  <c r="B16" i="7"/>
  <c r="B15" i="7"/>
  <c r="B14" i="7"/>
  <c r="B13" i="7"/>
  <c r="B12" i="7"/>
  <c r="D6" i="7"/>
  <c r="D7" i="7"/>
  <c r="D8" i="7"/>
  <c r="D9" i="7"/>
  <c r="D10" i="7"/>
  <c r="D5" i="7"/>
  <c r="B15" i="5"/>
  <c r="B13" i="5"/>
  <c r="B11" i="5"/>
  <c r="D7" i="8" l="1"/>
  <c r="C10" i="8" l="1"/>
  <c r="C11" i="8"/>
  <c r="B11" i="8"/>
  <c r="B10" i="8"/>
  <c r="B14" i="8" s="1"/>
</calcChain>
</file>

<file path=xl/sharedStrings.xml><?xml version="1.0" encoding="utf-8"?>
<sst xmlns="http://schemas.openxmlformats.org/spreadsheetml/2006/main" count="69" uniqueCount="58">
  <si>
    <t>QUESTION 1</t>
  </si>
  <si>
    <r>
      <rPr>
        <sz val="11"/>
        <color rgb="FF000000"/>
        <rFont val="Calibri"/>
        <scheme val="minor"/>
      </rPr>
      <t xml:space="preserve">ANS:The null hypothesis (H₀) is a statement that assumes </t>
    </r>
    <r>
      <rPr>
        <b/>
        <sz val="11"/>
        <color rgb="FF000000"/>
        <rFont val="Calibri"/>
        <scheme val="minor"/>
      </rPr>
      <t>no effect, no difference, or no relationship</t>
    </r>
    <r>
      <rPr>
        <sz val="11"/>
        <color rgb="FF000000"/>
        <rFont val="Calibri"/>
        <scheme val="minor"/>
      </rPr>
      <t xml:space="preserve"> exists.</t>
    </r>
  </si>
  <si>
    <t>It is important because hypothesis testing starts by assuming H₀ is true and then uses sample data to decide whether there is enough evidence to reject it.</t>
  </si>
  <si>
    <t>QUESTION 2</t>
  </si>
  <si>
    <r>
      <rPr>
        <sz val="11"/>
        <color rgb="FF000000"/>
        <rFont val="Calibri"/>
        <scheme val="minor"/>
      </rPr>
      <t xml:space="preserve">ANS: The significance level represents the </t>
    </r>
    <r>
      <rPr>
        <b/>
        <sz val="11"/>
        <color rgb="FF000000"/>
        <rFont val="Calibri"/>
        <scheme val="minor"/>
      </rPr>
      <t>probability of rejecting a true null hypothesis</t>
    </r>
    <r>
      <rPr>
        <sz val="11"/>
        <color rgb="FF000000"/>
        <rFont val="Calibri"/>
        <scheme val="minor"/>
      </rPr>
      <t xml:space="preserve"> (Type I error).</t>
    </r>
  </si>
  <si>
    <r>
      <t xml:space="preserve">Common values of α are </t>
    </r>
    <r>
      <rPr>
        <b/>
        <sz val="11"/>
        <color theme="1"/>
        <rFont val="Calibri"/>
        <family val="2"/>
        <scheme val="minor"/>
      </rPr>
      <t>0.05 or 0.01</t>
    </r>
    <r>
      <rPr>
        <sz val="11"/>
        <color theme="1"/>
        <rFont val="Calibri"/>
        <family val="2"/>
        <scheme val="minor"/>
      </rPr>
      <t>.</t>
    </r>
  </si>
  <si>
    <t>QUESTION 3</t>
  </si>
  <si>
    <t>ANS: TYPE 1 ERROR = FALSE ALARM, TYPE 2 ERROR = FALLING TO REJECT A FALSE NULL HYPOTHESIS</t>
  </si>
  <si>
    <t xml:space="preserve">ERROR TYPE </t>
  </si>
  <si>
    <t>MEANING</t>
  </si>
  <si>
    <t>TYPE 1 ERROR</t>
  </si>
  <si>
    <t>Rejecting a true null hypothesis.</t>
  </si>
  <si>
    <t>TYPE 2 ERROR</t>
  </si>
  <si>
    <t>Falling to reject a false null hypothesis.</t>
  </si>
  <si>
    <t>QUESTION 4</t>
  </si>
  <si>
    <t>ANS: ONE-TAILED: "Average weight increase" , TWO-TAILED: "Average weight is different"</t>
  </si>
  <si>
    <t>TEST TYPE</t>
  </si>
  <si>
    <t>ONE-TAILED TEST</t>
  </si>
  <si>
    <t>Test is conducted in one direction only.</t>
  </si>
  <si>
    <t>TEWO-TAILED TEST</t>
  </si>
  <si>
    <t>Test checks for bth direction.</t>
  </si>
  <si>
    <t>QUSTION 5</t>
  </si>
  <si>
    <t>ANS: Since the calculated Z value is greater than the critical Z value at 5% level of significance, the null hypothesis is rejected. Hence, the company’s claim that the average time is 10 minutes is not valid.</t>
  </si>
  <si>
    <t>Column1</t>
  </si>
  <si>
    <t>Column2</t>
  </si>
  <si>
    <t>CLAIMED MEAN</t>
  </si>
  <si>
    <t>SAMPLE MEAN</t>
  </si>
  <si>
    <t>STD DEVIATION</t>
  </si>
  <si>
    <t xml:space="preserve">SAMPLE SIZE </t>
  </si>
  <si>
    <t>SIGNIFICANCE LEVEL</t>
  </si>
  <si>
    <t>Z VALUE :</t>
  </si>
  <si>
    <t xml:space="preserve"> CRITICAL Z :</t>
  </si>
  <si>
    <t>DECISION :</t>
  </si>
  <si>
    <t>QUESTION 6</t>
  </si>
  <si>
    <t>ANS: A Z-test is used when the sample size is large (n ≥ 30) or when the population standard deviation is known. A t-test is used when the sample size is small and population standard deviation is unknown.</t>
  </si>
  <si>
    <t>QUESTION 7</t>
  </si>
  <si>
    <t>ANS: Since the calculated t value is greater than the critical t value at 5% level of significance, the null hypothesis is rejected. Hence, the training program significantly improved productivity.</t>
  </si>
  <si>
    <t>EMPLOYEE</t>
  </si>
  <si>
    <t>BEFORE</t>
  </si>
  <si>
    <t>AFTER</t>
  </si>
  <si>
    <t>DIFFERENCE</t>
  </si>
  <si>
    <t>MEAN DEFFERENCE:</t>
  </si>
  <si>
    <t>STANDARD DEVIATION:</t>
  </si>
  <si>
    <t>T VALUE:</t>
  </si>
  <si>
    <t>CRITICAL T:</t>
  </si>
  <si>
    <t>DECISION:</t>
  </si>
  <si>
    <t>QUESTION 8</t>
  </si>
  <si>
    <t>ANS: Since the calculated chi-square value is greater than the critical value at 5% level of significance, the null hypothesis is rejected. Hence, product preference is not independent of gender.</t>
  </si>
  <si>
    <t xml:space="preserve">GENDER </t>
  </si>
  <si>
    <t>PRODUCT A</t>
  </si>
  <si>
    <t>PRODUCT B</t>
  </si>
  <si>
    <t>TOTAL</t>
  </si>
  <si>
    <t>MALE</t>
  </si>
  <si>
    <t>FEMALE</t>
  </si>
  <si>
    <t>EXPECTED</t>
  </si>
  <si>
    <t>CHI-SQUARE VALUES:</t>
  </si>
  <si>
    <t>CHI-SQUARE VALUE:</t>
  </si>
  <si>
    <t>CRITICAL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</si>
</sst>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5044C-93BF-444B-8F2E-52F5768272AF}" name="Table2" displayName="Table2" ref="A4:B9" totalsRowShown="0">
  <autoFilter ref="A4:B9" xr:uid="{F9C5044C-93BF-444B-8F2E-52F5768272AF}"/>
  <tableColumns count="2">
    <tableColumn id="1" xr3:uid="{5C61475D-0A52-4E08-A433-DA95D74CE925}" name="Column1"/>
    <tableColumn id="2" xr3:uid="{FC4F84C7-CC64-4808-9E73-2E44C2CB825B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/>
  <cols>
    <col min="1" max="1" width="36.5703125" bestFit="1" customWidth="1"/>
  </cols>
  <sheetData>
    <row r="1" spans="1:1">
      <c r="A1" t="s">
        <v>0</v>
      </c>
    </row>
    <row r="2" spans="1:1">
      <c r="A2" s="3" t="s">
        <v>1</v>
      </c>
    </row>
    <row r="3" spans="1:1">
      <c r="A3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9647-C587-4E0B-A7F3-C0581FFECA5E}">
  <dimension ref="A1:A3"/>
  <sheetViews>
    <sheetView workbookViewId="0"/>
  </sheetViews>
  <sheetFormatPr defaultRowHeight="15"/>
  <cols>
    <col min="1" max="1" width="36.5703125" bestFit="1" customWidth="1"/>
  </cols>
  <sheetData>
    <row r="1" spans="1:1">
      <c r="A1" t="s">
        <v>3</v>
      </c>
    </row>
    <row r="2" spans="1:1">
      <c r="A2" s="3" t="s">
        <v>4</v>
      </c>
    </row>
    <row r="3" spans="1:1">
      <c r="A3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D882-8AC2-4C6C-9E7C-E4D11D403325}">
  <dimension ref="A1:B6"/>
  <sheetViews>
    <sheetView workbookViewId="0"/>
  </sheetViews>
  <sheetFormatPr defaultRowHeight="15"/>
  <cols>
    <col min="1" max="1" width="36.5703125" bestFit="1" customWidth="1"/>
    <col min="2" max="2" width="34.5703125" bestFit="1" customWidth="1"/>
  </cols>
  <sheetData>
    <row r="1" spans="1:2">
      <c r="A1" t="s">
        <v>6</v>
      </c>
    </row>
    <row r="2" spans="1:2">
      <c r="A2" s="2" t="s">
        <v>7</v>
      </c>
    </row>
    <row r="4" spans="1:2">
      <c r="A4" s="4" t="s">
        <v>8</v>
      </c>
      <c r="B4" s="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470D-0E94-4EBC-9809-0FE6739E6C32}">
  <dimension ref="A1:B6"/>
  <sheetViews>
    <sheetView workbookViewId="0"/>
  </sheetViews>
  <sheetFormatPr defaultRowHeight="15"/>
  <cols>
    <col min="1" max="1" width="36.5703125" bestFit="1" customWidth="1"/>
    <col min="2" max="2" width="35" bestFit="1" customWidth="1"/>
  </cols>
  <sheetData>
    <row r="1" spans="1:2">
      <c r="A1" t="s">
        <v>14</v>
      </c>
    </row>
    <row r="2" spans="1:2">
      <c r="A2" s="2" t="s">
        <v>15</v>
      </c>
    </row>
    <row r="4" spans="1:2">
      <c r="A4" s="4" t="s">
        <v>16</v>
      </c>
      <c r="B4" s="4" t="s">
        <v>9</v>
      </c>
    </row>
    <row r="5" spans="1:2">
      <c r="A5" t="s">
        <v>17</v>
      </c>
      <c r="B5" t="s">
        <v>18</v>
      </c>
    </row>
    <row r="6" spans="1:2">
      <c r="A6" t="s">
        <v>19</v>
      </c>
      <c r="B6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7346-06B7-49DC-B04C-DBFA79B8F04E}">
  <dimension ref="A1:B15"/>
  <sheetViews>
    <sheetView workbookViewId="0">
      <selection activeCell="B15" sqref="B15"/>
    </sheetView>
  </sheetViews>
  <sheetFormatPr defaultRowHeight="15"/>
  <cols>
    <col min="1" max="2" width="36.5703125" bestFit="1" customWidth="1"/>
  </cols>
  <sheetData>
    <row r="1" spans="1:2">
      <c r="A1" t="s">
        <v>21</v>
      </c>
    </row>
    <row r="2" spans="1:2">
      <c r="A2" s="2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>
        <v>10</v>
      </c>
    </row>
    <row r="6" spans="1:2">
      <c r="A6" t="s">
        <v>26</v>
      </c>
      <c r="B6">
        <v>12</v>
      </c>
    </row>
    <row r="7" spans="1:2">
      <c r="A7" t="s">
        <v>27</v>
      </c>
      <c r="B7">
        <v>3</v>
      </c>
    </row>
    <row r="8" spans="1:2">
      <c r="A8" t="s">
        <v>28</v>
      </c>
      <c r="B8">
        <v>9</v>
      </c>
    </row>
    <row r="9" spans="1:2">
      <c r="A9" t="s">
        <v>29</v>
      </c>
      <c r="B9">
        <v>0.05</v>
      </c>
    </row>
    <row r="11" spans="1:2">
      <c r="A11" t="s">
        <v>30</v>
      </c>
      <c r="B11">
        <f>(B6-B5)/(B7/SQRT(B8))</f>
        <v>2</v>
      </c>
    </row>
    <row r="13" spans="1:2">
      <c r="A13" t="s">
        <v>31</v>
      </c>
      <c r="B13">
        <f>_xlfn.NORM.S.INV(1-B9/2)</f>
        <v>1.9599639845400536</v>
      </c>
    </row>
    <row r="15" spans="1:2" ht="20.25" customHeight="1">
      <c r="A15" t="s">
        <v>32</v>
      </c>
      <c r="B15" s="1" t="str">
        <f>IF(ABS(B11)&gt;B13,"REJECT HO","FAIL TO REJECT HO")</f>
        <v>REJECT HO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DC10-8FA5-4390-8A76-F648C39E03B1}">
  <dimension ref="A1:A2"/>
  <sheetViews>
    <sheetView workbookViewId="0"/>
  </sheetViews>
  <sheetFormatPr defaultRowHeight="15"/>
  <cols>
    <col min="1" max="1" width="36.5703125" bestFit="1" customWidth="1"/>
  </cols>
  <sheetData>
    <row r="1" spans="1:1">
      <c r="A1" t="s">
        <v>33</v>
      </c>
    </row>
    <row r="2" spans="1:1">
      <c r="A2" s="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E5D0-F8A9-43D5-8296-2E569478B03A}">
  <dimension ref="A1:D16"/>
  <sheetViews>
    <sheetView workbookViewId="0"/>
  </sheetViews>
  <sheetFormatPr defaultRowHeight="15"/>
  <cols>
    <col min="1" max="1" width="36.5703125" bestFit="1" customWidth="1"/>
    <col min="4" max="4" width="11.5703125" bestFit="1" customWidth="1"/>
  </cols>
  <sheetData>
    <row r="1" spans="1:4">
      <c r="A1" t="s">
        <v>35</v>
      </c>
    </row>
    <row r="2" spans="1:4">
      <c r="A2" s="2" t="s">
        <v>36</v>
      </c>
    </row>
    <row r="4" spans="1:4">
      <c r="A4" s="4" t="s">
        <v>37</v>
      </c>
      <c r="B4" s="4" t="s">
        <v>38</v>
      </c>
      <c r="C4" s="4" t="s">
        <v>39</v>
      </c>
      <c r="D4" s="4" t="s">
        <v>40</v>
      </c>
    </row>
    <row r="5" spans="1:4">
      <c r="A5" s="4">
        <v>1</v>
      </c>
      <c r="B5">
        <v>50</v>
      </c>
      <c r="C5">
        <v>55</v>
      </c>
      <c r="D5">
        <f>C5-B5</f>
        <v>5</v>
      </c>
    </row>
    <row r="6" spans="1:4">
      <c r="A6" s="4">
        <v>2</v>
      </c>
      <c r="B6">
        <v>60</v>
      </c>
      <c r="C6">
        <v>65</v>
      </c>
      <c r="D6">
        <f t="shared" ref="D6:D10" si="0">C6-B6</f>
        <v>5</v>
      </c>
    </row>
    <row r="7" spans="1:4">
      <c r="A7" s="4">
        <v>3</v>
      </c>
      <c r="B7">
        <v>58</v>
      </c>
      <c r="C7">
        <v>59</v>
      </c>
      <c r="D7">
        <f t="shared" si="0"/>
        <v>1</v>
      </c>
    </row>
    <row r="8" spans="1:4">
      <c r="A8" s="4">
        <v>4</v>
      </c>
      <c r="B8">
        <v>55</v>
      </c>
      <c r="C8">
        <v>58</v>
      </c>
      <c r="D8">
        <f t="shared" si="0"/>
        <v>3</v>
      </c>
    </row>
    <row r="9" spans="1:4">
      <c r="A9" s="4">
        <v>5</v>
      </c>
      <c r="B9">
        <v>62</v>
      </c>
      <c r="C9">
        <v>63</v>
      </c>
      <c r="D9">
        <f t="shared" si="0"/>
        <v>1</v>
      </c>
    </row>
    <row r="10" spans="1:4">
      <c r="A10" s="4">
        <v>6</v>
      </c>
      <c r="B10">
        <v>56</v>
      </c>
      <c r="C10">
        <v>59</v>
      </c>
      <c r="D10">
        <f t="shared" si="0"/>
        <v>3</v>
      </c>
    </row>
    <row r="11" spans="1:4">
      <c r="A11" s="4"/>
    </row>
    <row r="12" spans="1:4">
      <c r="A12" t="s">
        <v>41</v>
      </c>
      <c r="B12">
        <f>AVERAGE(D5:D10)</f>
        <v>3</v>
      </c>
    </row>
    <row r="13" spans="1:4">
      <c r="A13" t="s">
        <v>42</v>
      </c>
      <c r="B13">
        <f>_xlfn.STDEV.S(D5:D10)</f>
        <v>1.7888543819998317</v>
      </c>
    </row>
    <row r="14" spans="1:4">
      <c r="A14" t="s">
        <v>43</v>
      </c>
      <c r="B14">
        <f>B12/(B13/SQRT(6))</f>
        <v>4.1079191812887457</v>
      </c>
    </row>
    <row r="15" spans="1:4">
      <c r="A15" t="s">
        <v>44</v>
      </c>
      <c r="B15">
        <f>_xlfn.T.INV(0.95,5)</f>
        <v>2.0150483733330233</v>
      </c>
    </row>
    <row r="16" spans="1:4">
      <c r="A16" t="s">
        <v>45</v>
      </c>
      <c r="B16" t="str">
        <f>IF(B14&gt;B15,"REJECT HO","FAIL TO REJECT HO")</f>
        <v>REJECT HO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E554-DE73-4CA6-893F-2B9D6936BA70}">
  <dimension ref="A1:D19"/>
  <sheetViews>
    <sheetView tabSelected="1" workbookViewId="0">
      <selection activeCell="A2" sqref="A2"/>
    </sheetView>
  </sheetViews>
  <sheetFormatPr defaultRowHeight="15"/>
  <cols>
    <col min="1" max="1" width="36.5703125" bestFit="1" customWidth="1"/>
    <col min="2" max="2" width="11.140625" bestFit="1" customWidth="1"/>
    <col min="3" max="3" width="20.28515625" bestFit="1" customWidth="1"/>
  </cols>
  <sheetData>
    <row r="1" spans="1:4">
      <c r="A1" t="s">
        <v>46</v>
      </c>
    </row>
    <row r="2" spans="1:4">
      <c r="A2" s="2" t="s">
        <v>47</v>
      </c>
    </row>
    <row r="4" spans="1:4">
      <c r="A4" t="s">
        <v>48</v>
      </c>
      <c r="B4" t="s">
        <v>49</v>
      </c>
      <c r="C4" t="s">
        <v>50</v>
      </c>
      <c r="D4" t="s">
        <v>51</v>
      </c>
    </row>
    <row r="5" spans="1:4">
      <c r="A5" t="s">
        <v>52</v>
      </c>
      <c r="B5">
        <v>30</v>
      </c>
      <c r="C5">
        <v>20</v>
      </c>
      <c r="D5">
        <f>B5+C5</f>
        <v>50</v>
      </c>
    </row>
    <row r="6" spans="1:4">
      <c r="A6" t="s">
        <v>53</v>
      </c>
      <c r="B6">
        <v>10</v>
      </c>
      <c r="C6">
        <v>40</v>
      </c>
      <c r="D6">
        <f>B6+C6</f>
        <v>50</v>
      </c>
    </row>
    <row r="7" spans="1:4">
      <c r="A7" t="s">
        <v>51</v>
      </c>
      <c r="B7">
        <f>B5+B6</f>
        <v>40</v>
      </c>
      <c r="C7">
        <f t="shared" ref="C7:D7" si="0">C5+C6</f>
        <v>60</v>
      </c>
      <c r="D7">
        <f t="shared" si="0"/>
        <v>100</v>
      </c>
    </row>
    <row r="9" spans="1:4">
      <c r="A9" t="s">
        <v>54</v>
      </c>
      <c r="B9" t="s">
        <v>49</v>
      </c>
      <c r="C9" t="s">
        <v>50</v>
      </c>
    </row>
    <row r="10" spans="1:4">
      <c r="A10" t="s">
        <v>52</v>
      </c>
      <c r="B10">
        <f>($D$5*$B$7)/$D$7</f>
        <v>20</v>
      </c>
      <c r="C10">
        <f>($D$5*$C$7)/$D$7</f>
        <v>30</v>
      </c>
    </row>
    <row r="11" spans="1:4">
      <c r="A11" t="s">
        <v>53</v>
      </c>
      <c r="B11">
        <f>($D$6*$B$7)/$D$7</f>
        <v>20</v>
      </c>
      <c r="C11">
        <f>($D$6*$C$7)/$D$7</f>
        <v>30</v>
      </c>
    </row>
    <row r="13" spans="1:4">
      <c r="A13" t="s">
        <v>55</v>
      </c>
      <c r="B13" t="s">
        <v>49</v>
      </c>
      <c r="C13" t="s">
        <v>50</v>
      </c>
    </row>
    <row r="14" spans="1:4">
      <c r="A14" t="s">
        <v>52</v>
      </c>
      <c r="B14">
        <f>(B5-B10)^2/B10</f>
        <v>5</v>
      </c>
      <c r="C14">
        <f>(C5-C10)^2/C10</f>
        <v>3.3333333333333335</v>
      </c>
    </row>
    <row r="15" spans="1:4">
      <c r="A15" t="s">
        <v>53</v>
      </c>
      <c r="B15">
        <f>(B6-B11)^2/B11</f>
        <v>5</v>
      </c>
      <c r="C15">
        <f>(C6-C11)^2/C11</f>
        <v>3.3333333333333335</v>
      </c>
    </row>
    <row r="17" spans="1:2">
      <c r="A17" t="s">
        <v>56</v>
      </c>
      <c r="B17">
        <f>SUM(B14:C15)</f>
        <v>16.666666666666668</v>
      </c>
    </row>
    <row r="18" spans="1:2">
      <c r="A18" t="s">
        <v>57</v>
      </c>
      <c r="B18">
        <f>_xlfn.CHISQ.INV.RT(0.05,1)</f>
        <v>3.8414588206941236</v>
      </c>
    </row>
    <row r="19" spans="1:2">
      <c r="A19" t="s">
        <v>45</v>
      </c>
      <c r="B19" t="str">
        <f>IF(B17&gt;B18,"Reject H0","Fail to Reject H0")</f>
        <v>Reject H0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2026-01-07T13:44:22Z</dcterms:created>
  <dcterms:modified xsi:type="dcterms:W3CDTF">2026-01-07T14:47:02Z</dcterms:modified>
  <cp:category/>
  <cp:contentStatus/>
</cp:coreProperties>
</file>